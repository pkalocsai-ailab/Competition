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76A5777A-4EFA-4BA4-B09D-72FF8179F43C}" xr6:coauthVersionLast="47" xr6:coauthVersionMax="47" xr10:uidLastSave="{00000000-0000-0000-0000-000000000000}"/>
  <bookViews>
    <workbookView xWindow="5340" yWindow="150" windowWidth="20220" windowHeight="15225" xr2:uid="{5F10084F-535E-47C6-BD99-CF1368C82E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 l="1"/>
  <c r="A13" i="1"/>
  <c r="A4" i="1"/>
  <c r="A15" i="1"/>
  <c r="A10" i="1"/>
  <c r="A11" i="1"/>
  <c r="A23" i="1"/>
  <c r="A7" i="1"/>
  <c r="A2" i="1"/>
  <c r="A3" i="1"/>
  <c r="A5" i="1"/>
  <c r="A22" i="1"/>
  <c r="A9" i="1"/>
  <c r="A29" i="1"/>
  <c r="A8" i="1"/>
  <c r="A28" i="1"/>
  <c r="A19" i="1"/>
  <c r="A6" i="1"/>
  <c r="A25" i="1"/>
  <c r="A18" i="1"/>
  <c r="A14" i="1"/>
  <c r="A12" i="1"/>
  <c r="A17" i="1"/>
  <c r="A20" i="1"/>
  <c r="A2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</futureMetadata>
  <valueMetadata count="2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</valueMetadata>
</metadata>
</file>

<file path=xl/sharedStrings.xml><?xml version="1.0" encoding="utf-8"?>
<sst xmlns="http://schemas.openxmlformats.org/spreadsheetml/2006/main" count="266" uniqueCount="213">
  <si>
    <t>Logo</t>
  </si>
  <si>
    <t>Company Name</t>
  </si>
  <si>
    <t>Product/Solution</t>
  </si>
  <si>
    <t>Functionality</t>
  </si>
  <si>
    <t>Device</t>
  </si>
  <si>
    <t>Company Size</t>
  </si>
  <si>
    <t>Location</t>
  </si>
  <si>
    <t>Founder(s)/Leader(s)</t>
  </si>
  <si>
    <t>Founded</t>
  </si>
  <si>
    <t>URL</t>
  </si>
  <si>
    <t>Contact</t>
  </si>
  <si>
    <t>Baidu</t>
  </si>
  <si>
    <t>Xiling AI Sign Language Platform
All-in-one Sign Language Interpreter</t>
  </si>
  <si>
    <t>Sign Language Transaltion 
(both online and offline)
Digital Human rendwring, voice recognition</t>
  </si>
  <si>
    <t>Any</t>
  </si>
  <si>
    <t>Large (10,000+)</t>
  </si>
  <si>
    <t>Beijing, China</t>
  </si>
  <si>
    <t>Robin Li
Eric Xu</t>
  </si>
  <si>
    <t>https://xiling.cloud.baidu.com/</t>
  </si>
  <si>
    <t>intlcomm@baidu.com</t>
  </si>
  <si>
    <t>Deaf AI</t>
  </si>
  <si>
    <t>Sign Detector
API, Mobile/Tablet App
AirSigner</t>
  </si>
  <si>
    <t>Detecting signers in online meetings
Sign Language Translation
AirSigner is in alpha</t>
  </si>
  <si>
    <t>Small (1-50)</t>
  </si>
  <si>
    <t>Toronto, Canada</t>
  </si>
  <si>
    <t>Mehdi Masoumi
Azadeh Bojmehrani</t>
  </si>
  <si>
    <t>2022 (?)</t>
  </si>
  <si>
    <t>http://www.deaf-ai.com</t>
  </si>
  <si>
    <t>N/A</t>
  </si>
  <si>
    <t>Deaf In Government</t>
  </si>
  <si>
    <t>Dragonfly</t>
  </si>
  <si>
    <t>Sign Language Translation (ASL)
Sign Language to Voice System</t>
  </si>
  <si>
    <t>Not specified</t>
  </si>
  <si>
    <t>Washington, DC, USA</t>
  </si>
  <si>
    <t>Jeremy Sebest
James Powell
Chad Bishop</t>
  </si>
  <si>
    <t>http://www.deafingov.org</t>
  </si>
  <si>
    <t>ContactDeafInGov@gmail.com</t>
  </si>
  <si>
    <t>ELdeS</t>
  </si>
  <si>
    <t>Interactive education platform
to teach sign language
Franchise program</t>
  </si>
  <si>
    <t>Educates users in Uruguayian SL,
Argentinian SL, Spanish SL, and Colombian SL</t>
  </si>
  <si>
    <t>Uruguay, Spain</t>
  </si>
  <si>
    <t>Martín Curzio
Fabián Curzio</t>
  </si>
  <si>
    <t>https://www.somoseldes.com/</t>
  </si>
  <si>
    <t>comercial@somoseldes.com</t>
  </si>
  <si>
    <t>GLWMax</t>
  </si>
  <si>
    <t>AI and Communication
packages 
AI for Deaf Accessibility</t>
  </si>
  <si>
    <t>AI and Avatar technology with sign
language expertise</t>
  </si>
  <si>
    <t>Belgium</t>
  </si>
  <si>
    <t>Andy Van Hoorebeke (deaf)
Tiina Van Hoorebeke</t>
  </si>
  <si>
    <t>https://www.glwmax.info/</t>
  </si>
  <si>
    <t>info@glwmax.com</t>
  </si>
  <si>
    <t>Google</t>
  </si>
  <si>
    <t>Google Translate
Google Deaf Sign Translator
SignTown
SignTown Handbook</t>
  </si>
  <si>
    <t xml:space="preserve">Google Translate recently added 
Sign Language support
SignTown detects body posture, facial 
expression, and hand movements
ST Handbook is Sign Language
Dictionary App </t>
  </si>
  <si>
    <t>Mountain View, California, USA</t>
  </si>
  <si>
    <t>Larry Page
Sergey Brin
Sam Sepah (deaf)</t>
  </si>
  <si>
    <t>https://play.google.com/store/apps/details?id=com.thebitstudio.shuwa&amp;hl=en_US</t>
  </si>
  <si>
    <t>GoSign.ai</t>
  </si>
  <si>
    <t>GoSignAI App
Datasets in 17 Sign Languages</t>
  </si>
  <si>
    <t>Play games in Sign Language</t>
  </si>
  <si>
    <t>Mobile (Android, iOS)</t>
  </si>
  <si>
    <t>Small (1-50) 7 employees in Oct 2024</t>
  </si>
  <si>
    <t>Rochester, New York, USA</t>
  </si>
  <si>
    <t>Ryan Hait-Campbell (Co-Founder, deaf)
Jeffrey (Jeff) Shaul (CTO)</t>
  </si>
  <si>
    <t>https://www.gosign.ai/</t>
  </si>
  <si>
    <t>Hello@GoSign.AI</t>
  </si>
  <si>
    <t>Hand Talk Technologia SA</t>
  </si>
  <si>
    <t>Hand Talk Translator
Hugo and Maya</t>
  </si>
  <si>
    <t>Sign Language Interpreter
(Libras and ASL, Beta)</t>
  </si>
  <si>
    <t>Maceió, Brazil</t>
  </si>
  <si>
    <t>Ronaldo Tenório de Freitas
Carlos Wanderlan
Thadeu Luz</t>
  </si>
  <si>
    <t>https://www.handtalk.me/en/</t>
  </si>
  <si>
    <t>InSignLanguage Ltd</t>
  </si>
  <si>
    <t>InSignDoc
InSignTravel
InSignFeedback</t>
  </si>
  <si>
    <t>Sign Language Translation (BSL)
with smart 3D avatar (Heather)</t>
  </si>
  <si>
    <t>Not specified (likely computers, laptops, displays)</t>
  </si>
  <si>
    <t>London, England</t>
  </si>
  <si>
    <t>Elisabeth Hood (CEO)</t>
  </si>
  <si>
    <t>https://www.insignlanguage.co.uk/</t>
  </si>
  <si>
    <t>hello@insignlanguage.co.uk</t>
  </si>
  <si>
    <t>IVéS</t>
  </si>
  <si>
    <t>Signtrad, Signbot, Signverse
Sign Language Translation
with 3D avatar</t>
  </si>
  <si>
    <t>Sign Language Translation
Sign Language Recognition (avatar
Iris). VR for learning mostly French
Sign Language (LSF)</t>
  </si>
  <si>
    <t>Any, also VR</t>
  </si>
  <si>
    <t>Montbonnot-Saint-Martin, France
Montreal, Canada</t>
  </si>
  <si>
    <t>Bernard Durocher
Jeremy Huart</t>
  </si>
  <si>
    <t>http://www.ives.fr</t>
  </si>
  <si>
    <t>Kara Technologies</t>
  </si>
  <si>
    <t>Digital Humans</t>
  </si>
  <si>
    <t>Use motion capture hardware to
develop avatar to sign prerecorded 
messages
Translate video, audio, text into 
sign language (NZSL)</t>
  </si>
  <si>
    <t>Any screen or device</t>
  </si>
  <si>
    <t>Auckland, New Zealand</t>
  </si>
  <si>
    <t>Arash Tayebi (CEO)
Farmehr Farhour (CTO)
Sahar Izadi (COO)
Ken Erskine (CMO)</t>
  </si>
  <si>
    <t>http://www.kara.tech/</t>
  </si>
  <si>
    <t>Lingvano</t>
  </si>
  <si>
    <t>Lingvano mobile app and 
online platform to learn
sign languages (non-AI)</t>
  </si>
  <si>
    <t>Supported languages: ASL, BSL,
Austrian Sign Language (OEGS)</t>
  </si>
  <si>
    <t>Mobile (Android, iOS)
laptop, tablet</t>
  </si>
  <si>
    <t>Vienna, Austria</t>
  </si>
  <si>
    <t xml:space="preserve">Matthias F. (Co-Founder)
Atilla (Co-Founder)
</t>
  </si>
  <si>
    <t>https://www.lingvano.com/asl/</t>
  </si>
  <si>
    <t>OmniBridge 
(Intel venture)</t>
  </si>
  <si>
    <t xml:space="preserve">OmniBridge Device </t>
  </si>
  <si>
    <t>Sign Language Translation (real-time 
between ASL and spoken English)
Building an ASL Database</t>
  </si>
  <si>
    <t>OmniBridge's own device 
(Intel based)</t>
  </si>
  <si>
    <t>Santa Clara, California, USA</t>
  </si>
  <si>
    <t>Adam Munder (deaf)</t>
  </si>
  <si>
    <t>https://omnibridge.ai/</t>
  </si>
  <si>
    <t>Robotica</t>
  </si>
  <si>
    <t>Correspondent
Gazette
Situation</t>
  </si>
  <si>
    <t>Sign Language Translation (BSL) from
letters, emails, info signs, leaflets,
situational-aware info, help-points</t>
  </si>
  <si>
    <t>Mobile (Android, iOS)
Computers, laptops</t>
  </si>
  <si>
    <t>Norwich, Norfolk, UK</t>
  </si>
  <si>
    <t>https://robotica.ml/</t>
  </si>
  <si>
    <t>info@robotica.ml</t>
  </si>
  <si>
    <t>RockCat Studio Limited</t>
  </si>
  <si>
    <t>Ai Sign: Sign Language App</t>
  </si>
  <si>
    <t>Recognize over 100 ASL signs
Action Recognition Mode
Capture Mode (data collection)</t>
  </si>
  <si>
    <t>iOS, macOS, visionOS</t>
  </si>
  <si>
    <t>Hong Kong SAR</t>
  </si>
  <si>
    <t>Man Yat Lo</t>
  </si>
  <si>
    <t>https://www.rockcatstudio.com/</t>
  </si>
  <si>
    <t>support@rockcatstudio.com</t>
  </si>
  <si>
    <t>SignAll
(Gallaudet University)</t>
  </si>
  <si>
    <t>SignAll Chat
SignAll Learn Lab
AceASL
SignAll SDK</t>
  </si>
  <si>
    <t>Sign Language Translation (ASL)
Learn, practice ASL
SDK for developers to integrate
ASL SLT into their apps</t>
  </si>
  <si>
    <t>Budapest, Hungary</t>
  </si>
  <si>
    <t>Zsolt Robotka (CEO)
János Rovnyai (Co-Founder)</t>
  </si>
  <si>
    <t>https://www.signall.live (?)</t>
  </si>
  <si>
    <t>Signapse</t>
  </si>
  <si>
    <t>Sign Studio
Transport Translation
Web Translation</t>
  </si>
  <si>
    <t>Photo-realistic Sign Language
Translation (BSL, ASL)</t>
  </si>
  <si>
    <t>Not specified (likely any)</t>
  </si>
  <si>
    <t>Small (1-50) 23 employees in Oct
2024</t>
  </si>
  <si>
    <t>Surrey Technology Centre, Guildford, Surrey, UK</t>
  </si>
  <si>
    <t>Sally Chalk (CEO)
Ben Saunders (CTO)
Richard Bowden (CRO)</t>
  </si>
  <si>
    <t>https://www.signapse.ai/</t>
  </si>
  <si>
    <t>hello@signapse.ai</t>
  </si>
  <si>
    <t>SignAvatar</t>
  </si>
  <si>
    <t>TransportSign™</t>
  </si>
  <si>
    <t>Sign Language Interpretation at 
train and airline terminals (ASL, ISL,
Serbian SL, Macedonian SL)</t>
  </si>
  <si>
    <t xml:space="preserve">Kiosk </t>
  </si>
  <si>
    <t>Haverhill, New Hampshire, USA
Belgrade, Serbia</t>
  </si>
  <si>
    <t>George Dimitrijevic
Uroš Milenković</t>
  </si>
  <si>
    <t>https://www.signavatar.org/</t>
  </si>
  <si>
    <t>SignForDeaf</t>
  </si>
  <si>
    <t>PDF Sign Language Plugin
Web/Video SL Plugin
Printed Material 
Accessibility System</t>
  </si>
  <si>
    <t>Make PDF documents, Web sites,
videos accessible for deaf and 
hearing-impaired people (SLT)
in ASL, Finnish SL, Turkish SL</t>
  </si>
  <si>
    <t>Likely computers, laptops</t>
  </si>
  <si>
    <t>Eskişehir, Turkey</t>
  </si>
  <si>
    <t>Özer Çelik (CEO)</t>
  </si>
  <si>
    <t>https://www.signfordeaf.com</t>
  </si>
  <si>
    <t>hello@signfordeaf.com</t>
  </si>
  <si>
    <t>SignHow</t>
  </si>
  <si>
    <t>Global Sign Language 
Dictionary
(currently only Auslan)</t>
  </si>
  <si>
    <t>7500 Auslan signs recorded
Video Sign Dictionary</t>
  </si>
  <si>
    <t>Hamilton, Queensland, Australia</t>
  </si>
  <si>
    <t>Nikhil Bora (deaf)
Sophie Li (deaf)</t>
  </si>
  <si>
    <t>http://www.signhow.co</t>
  </si>
  <si>
    <t>hello@signhow.co</t>
  </si>
  <si>
    <t>Signly</t>
  </si>
  <si>
    <t>Text to Sign for Websites</t>
  </si>
  <si>
    <t>Adding sign Language to Websites
(ASL and BSL)
API for fast integration</t>
  </si>
  <si>
    <t>Romsey, Hampshire, GB</t>
  </si>
  <si>
    <r>
      <rPr>
        <sz val="12"/>
        <rFont val="Aptos"/>
        <family val="2"/>
      </rPr>
      <t xml:space="preserve">Mark Applin </t>
    </r>
    <r>
      <rPr>
        <sz val="12"/>
        <color theme="10"/>
        <rFont val="Aptos"/>
        <family val="2"/>
      </rPr>
      <t xml:space="preserve">
</t>
    </r>
  </si>
  <si>
    <t>https://signly.co/</t>
  </si>
  <si>
    <t>hello@signly.co</t>
  </si>
  <si>
    <t>Sign-Speak</t>
  </si>
  <si>
    <t>ASL GPT
CaptionASL
API &amp; Real-time Translation</t>
  </si>
  <si>
    <t>Sign Language Interpreter</t>
  </si>
  <si>
    <t>Tablet, Laptop</t>
  </si>
  <si>
    <t>Yami Payano (CEO)
Nikolas Kelly (CPO, deaf)
Nicholas Wilkins (CTO)</t>
  </si>
  <si>
    <t>https://www.sign-speak.com/</t>
  </si>
  <si>
    <t>contact-us@sign-speak.com</t>
  </si>
  <si>
    <t>SignTime</t>
  </si>
  <si>
    <t>Human Signed Translations
SiMAX (Translation with 3D
animated avatar)</t>
  </si>
  <si>
    <t>Sign Language Translation of 
Videos, Films, Websites, TV Shows
Translate text into 3D animated Sign 
Language (Austrian Sign Language)</t>
  </si>
  <si>
    <t>Monika Haider
Dr. Georg Tschare</t>
  </si>
  <si>
    <t>https://signtime.media/
https://simax.media/?lang=en</t>
  </si>
  <si>
    <t>office@signtime.media</t>
  </si>
  <si>
    <t>Slait</t>
  </si>
  <si>
    <t>Real-time SLT (Beta)
Slait School</t>
  </si>
  <si>
    <t>Sign Language Translation (ASL)
ASL Learning and Practice</t>
  </si>
  <si>
    <t>Web platforms
Mobile (Android, iOS)</t>
  </si>
  <si>
    <t>Aachen, Germany
Wilmington, Delaware, USA</t>
  </si>
  <si>
    <t>Evgeny Formin (CEO)
Nikita Nikitin (CTO)
Brenden Gilbert (deaf)</t>
  </si>
  <si>
    <t>https://slait.ai/</t>
  </si>
  <si>
    <t>Software Studios LLC</t>
  </si>
  <si>
    <t>ASL Dictionary Sign Language,
ASL Fingerspell Dictionary
Baby ASL</t>
  </si>
  <si>
    <t>ASL Dictionary</t>
  </si>
  <si>
    <t>Mobile (Android, iOS)
macOS</t>
  </si>
  <si>
    <t>Spokhand</t>
  </si>
  <si>
    <t>No product yet (Oct 2024)
Building Largest Sign Language Database</t>
  </si>
  <si>
    <t>Sign Language Translation (LLM)
Text or audio into sign language</t>
  </si>
  <si>
    <t>Fairburn, Georgia, USA</t>
  </si>
  <si>
    <t>David Ohana
Florian Méloux
Arthur Devillers</t>
  </si>
  <si>
    <t>https://spokhand.org/</t>
  </si>
  <si>
    <t>VSL Labs</t>
  </si>
  <si>
    <t xml:space="preserve">VSL OnDemand®
VSL Labs API </t>
  </si>
  <si>
    <t>Video content translation into ASL
Sign Language Translation API (Beta)</t>
  </si>
  <si>
    <t>Kefar Sava, Israel</t>
  </si>
  <si>
    <t>Tal Meged (CEO)
Gal Kalkstein (CSO)
Yaniv Eytani (CTO)</t>
  </si>
  <si>
    <t>https://www.vsllabs.com/</t>
  </si>
  <si>
    <t>office@vsllabs.com</t>
  </si>
  <si>
    <t>Sony</t>
  </si>
  <si>
    <t>https://www.sony.com/en/</t>
  </si>
  <si>
    <t>1946
(2023)</t>
  </si>
  <si>
    <t>Tokyo, Japan</t>
  </si>
  <si>
    <t>Celeste Bean
Todd Tokubo
(Patent Authors)</t>
  </si>
  <si>
    <t>Translation of Sign Language
in a Virtual Environment
(US Patent: US 2024/0335740)</t>
  </si>
  <si>
    <t>Sign Language to Sign Language 
Translation in a Virtual Environment
ASL &lt;-&gt; English &lt;-&gt; Japanese &lt;-&gt; JSL</t>
  </si>
  <si>
    <t>Virtual Reality (VR) Headset
Head Mounted Display (HMD)</t>
  </si>
  <si>
    <t>Selpr@sony.com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</si>
</sst>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2"/>
      <color rgb="FF1D1D1D"/>
      <name val="Aptos"/>
      <family val="2"/>
    </font>
    <font>
      <u/>
      <sz val="11"/>
      <color theme="10"/>
      <name val="Aptos Narrow"/>
      <family val="2"/>
      <scheme val="minor"/>
    </font>
    <font>
      <u/>
      <sz val="12"/>
      <color theme="10"/>
      <name val="Aptos"/>
      <family val="2"/>
    </font>
    <font>
      <sz val="12"/>
      <color rgb="FF050505"/>
      <name val="Aptos"/>
      <family val="2"/>
    </font>
    <font>
      <sz val="12"/>
      <color theme="10"/>
      <name val="Aptos"/>
      <family val="2"/>
    </font>
    <font>
      <sz val="12"/>
      <name val="Aptos"/>
      <family val="2"/>
    </font>
    <font>
      <sz val="12"/>
      <color rgb="FF202124"/>
      <name val="Aptos"/>
      <family val="2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1" applyFont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4" fillId="0" borderId="1" xfId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4" fillId="0" borderId="1" xfId="1" applyFill="1" applyBorder="1" applyAlignment="1">
      <alignment vertical="center"/>
    </xf>
    <xf numFmtId="0" fontId="5" fillId="0" borderId="0" xfId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styles" Target="styles.xml"/><Relationship Id="rId7" Type="http://schemas.microsoft.com/office/2022/10/relationships/richValueRel" Target="richData/richValueRel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17/06/relationships/rdRichValueStructure" Target="richData/rdrichvaluestructure.xml"/></Relationships>
</file>

<file path=xl/richData/_rels/rdRichValueWebImage.xml.rels><?xml version="1.0" encoding="UTF-8" standalone="yes"?>
<Relationships xmlns="http://schemas.openxmlformats.org/package/2006/relationships"><Relationship Id="rId13" Type="http://schemas.openxmlformats.org/officeDocument/2006/relationships/hyperlink" Target="https://media.licdn.com/dms/image/v2/D560BAQEQRr_cn89BnA/company-logo_200_200/company-logo_200_200/0/1722346590548/gosignai_logo?e=1736985600&amp;v=beta&amp;t=vafEbBQbII97cDugnDWLG4FisDsKm8k7k6zHyXKWUdg" TargetMode="External"/><Relationship Id="rId18" Type="http://schemas.openxmlformats.org/officeDocument/2006/relationships/image" Target="../media/image9.jpeg"/><Relationship Id="rId26" Type="http://schemas.openxmlformats.org/officeDocument/2006/relationships/image" Target="../media/image13.jpeg"/><Relationship Id="rId39" Type="http://schemas.openxmlformats.org/officeDocument/2006/relationships/hyperlink" Target="https://media.licdn.com/dms/image/v2/C4D0BAQH7lrYy4HWsJA/company-logo_200_200/company-logo_200_200/0/1630501881043/signly_logo?e=1736985600&amp;v=beta&amp;t=8B8rn64UL7Qp-9MDDKVsnzWJ4XNowCXwtVQsyQPbgdQ" TargetMode="External"/><Relationship Id="rId21" Type="http://schemas.openxmlformats.org/officeDocument/2006/relationships/hyperlink" Target="https://media.licdn.com/dms/image/v2/C560BAQH3czYpUBo7Fw/company-logo_200_200/company-logo_200_200/0/1631343393591?e=1736985600&amp;v=beta&amp;t=_qksszt56QG4U7sCFCcUshQdgcpOxP4EDfq0Rl2Oorc" TargetMode="External"/><Relationship Id="rId34" Type="http://schemas.openxmlformats.org/officeDocument/2006/relationships/image" Target="../media/image17.jpeg"/><Relationship Id="rId42" Type="http://schemas.openxmlformats.org/officeDocument/2006/relationships/image" Target="../media/image21.jpeg"/><Relationship Id="rId47" Type="http://schemas.openxmlformats.org/officeDocument/2006/relationships/hyperlink" Target="https://media.licdn.com/dms/image/v2/D4E0BAQH32vsplc-QwA/company-logo_200_200/company-logo_200_200/0/1719498908317/spokhand_logo?e=1736985600&amp;v=beta&amp;t=1u20_m3HR9dFFYp2BCvZMg2I3qemZmFOAmA121lzNK0" TargetMode="External"/><Relationship Id="rId50" Type="http://schemas.openxmlformats.org/officeDocument/2006/relationships/image" Target="../media/image25.jpeg"/><Relationship Id="rId7" Type="http://schemas.openxmlformats.org/officeDocument/2006/relationships/hyperlink" Target="https://media.licdn.com/dms/image/v2/D4D0BAQEclrKKINwt1A/company-logo_200_200/company-logo_200_200/0/1722090429148?e=1736985600&amp;v=beta&amp;t=vwfXwy5KWRTRfw-vp3gHupJHZPILleXcmmKCgxF2zRg" TargetMode="External"/><Relationship Id="rId2" Type="http://schemas.openxmlformats.org/officeDocument/2006/relationships/image" Target="../media/image1.jpeg"/><Relationship Id="rId16" Type="http://schemas.openxmlformats.org/officeDocument/2006/relationships/image" Target="../media/image8.jpeg"/><Relationship Id="rId29" Type="http://schemas.openxmlformats.org/officeDocument/2006/relationships/hyperlink" Target="https://media.licdn.com/dms/image/v2/D560BAQFz9CElkeC3Zg/company-logo_200_200/company-logo_200_200/0/1721778369642?e=1736985600&amp;v=beta&amp;t=TpHTF2dPDGRLWi3_d6NrixgV2MbGa5hEvG8tgoDJ2P8" TargetMode="External"/><Relationship Id="rId11" Type="http://schemas.openxmlformats.org/officeDocument/2006/relationships/hyperlink" Target="https://media.licdn.com/dms/image/v2/C4D0BAQHiNSL4Or29cg/company-logo_200_200/company-logo_200_200/0/1631311446380?e=1736985600&amp;v=beta&amp;t=Kaln0TENVE6GVffskStaDq-_krZOZxUy_w4lXAEo0Bw" TargetMode="External"/><Relationship Id="rId24" Type="http://schemas.openxmlformats.org/officeDocument/2006/relationships/image" Target="../media/image12.jpeg"/><Relationship Id="rId32" Type="http://schemas.openxmlformats.org/officeDocument/2006/relationships/image" Target="../media/image16.jpeg"/><Relationship Id="rId37" Type="http://schemas.openxmlformats.org/officeDocument/2006/relationships/hyperlink" Target="https://media.licdn.com/dms/image/v2/C510BAQHiwBG4yHrfuA/company-logo_200_200/company-logo_200_200/0/1631430723362/signhow_logo?e=1736985600&amp;v=beta&amp;t=uHqD2sHx_l0tY1aa-R3fUdBONYt85SOKwz6KaL4qHVM" TargetMode="External"/><Relationship Id="rId40" Type="http://schemas.openxmlformats.org/officeDocument/2006/relationships/image" Target="../media/image20.jpeg"/><Relationship Id="rId45" Type="http://schemas.openxmlformats.org/officeDocument/2006/relationships/hyperlink" Target="https://media.licdn.com/dms/image/v2/C560BAQFeD2stV0OSRQ/company-logo_200_200/company-logo_200_200/0/1630629120915/sony_logo?e=1737590400&amp;v=beta&amp;t=PVxpx-NsQMknZRx5RFPTXKZ0GoYo1hUh1VegkI5dWlA" TargetMode="External"/><Relationship Id="rId5" Type="http://schemas.openxmlformats.org/officeDocument/2006/relationships/hyperlink" Target="https://media.licdn.com/dms/image/v2/C4E0BAQGlNSZ_CJvqVA/company-logo_200_200/company-logo_200_200/0/1630587204664?e=1736985600&amp;v=beta&amp;t=n5OmeGnQDLfAaVb0oR2YJOrZjaZa6XOrSnK3MQICAvM" TargetMode="External"/><Relationship Id="rId15" Type="http://schemas.openxmlformats.org/officeDocument/2006/relationships/hyperlink" Target="https://media.licdn.com/dms/image/v2/C4E0BAQEjBLWMfCJ9tA/company-logo_200_200/company-logo_200_200/0/1636135557945?e=1736985600&amp;v=beta&amp;t=6TljkVjw0wOn3gU36H5NcIlBaUAME277Fc6qwa5uU1A" TargetMode="External"/><Relationship Id="rId23" Type="http://schemas.openxmlformats.org/officeDocument/2006/relationships/hyperlink" Target="https://media.licdn.com/dms/image/v2/D4D0BAQGYaLB10Ms2fQ/company-logo_200_200/company-logo_200_200/0/1725295563450/lingvano_logo?e=1736985600&amp;v=beta&amp;t=jso0VQg6WHnZpQ5dLytVf8zfdaeb8WfiXOa945eYQP8" TargetMode="External"/><Relationship Id="rId28" Type="http://schemas.openxmlformats.org/officeDocument/2006/relationships/image" Target="../media/image14.jpeg"/><Relationship Id="rId36" Type="http://schemas.openxmlformats.org/officeDocument/2006/relationships/image" Target="../media/image18.jpeg"/><Relationship Id="rId49" Type="http://schemas.openxmlformats.org/officeDocument/2006/relationships/hyperlink" Target="https://media.licdn.com/dms/image/v2/D4D0BAQEKAJHriNRfew/company-logo_200_200/company-logo_200_200/0/1721935574475/vsllabs_logo?e=1736985600&amp;v=beta&amp;t=UaMOwMI2O1DcNqisvlsrg2TNBSq_z8P0pjjcBybm5uE" TargetMode="External"/><Relationship Id="rId10" Type="http://schemas.openxmlformats.org/officeDocument/2006/relationships/image" Target="../media/image5.jpeg"/><Relationship Id="rId19" Type="http://schemas.openxmlformats.org/officeDocument/2006/relationships/hyperlink" Target="https://media.licdn.com/dms/image/v2/C4D0BAQE4E1nzIzQgWA/company-logo_200_200/company-logo_200_200/0/1630486258717/iv_s___interactivity_video_and_systems_logo?e=1736985600&amp;v=beta&amp;t=7sBlMl94Udbhpzj5rLgFukPPG7jGcKX-dqkD_WZanEE" TargetMode="External"/><Relationship Id="rId31" Type="http://schemas.openxmlformats.org/officeDocument/2006/relationships/hyperlink" Target="https://media.licdn.com/dms/image/v2/D4E0BAQH4xwChWRV3EA/company-logo_200_200/company-logo_200_200/0/1722502633346/signapse_logo?e=1736985600&amp;v=beta&amp;t=2LCRuxNNISVOroLKdRjHvN84b8trCMA8zmN3LD4X9nI" TargetMode="External"/><Relationship Id="rId44" Type="http://schemas.openxmlformats.org/officeDocument/2006/relationships/image" Target="../media/image22.jpeg"/><Relationship Id="rId4" Type="http://schemas.openxmlformats.org/officeDocument/2006/relationships/image" Target="../media/image2.jpeg"/><Relationship Id="rId9" Type="http://schemas.openxmlformats.org/officeDocument/2006/relationships/hyperlink" Target="https://media.licdn.com/dms/image/v2/C4D0BAQHGLvXTNM6rGQ/company-logo_200_200/company-logo_200_200/0/1631473289305?e=1736985600&amp;v=beta&amp;t=PMmgRB-uJC24V9jHr28SfOVg7j1hm2dSoBo3pjCmXmo" TargetMode="External"/><Relationship Id="rId14" Type="http://schemas.openxmlformats.org/officeDocument/2006/relationships/image" Target="../media/image7.jpeg"/><Relationship Id="rId22" Type="http://schemas.openxmlformats.org/officeDocument/2006/relationships/image" Target="../media/image11.jpeg"/><Relationship Id="rId27" Type="http://schemas.openxmlformats.org/officeDocument/2006/relationships/hyperlink" Target="https://media.licdn.com/dms/image/v2/C4E0BAQErgt8mzmtUhg/company-logo_200_200/company-logo_200_200/0/1662782795453/robotica_ml_logo?e=1736985600&amp;v=beta&amp;t=wueYPUe0MQQl2qaYUWVonWvoWkAQmQVrEzErMIw8laQ" TargetMode="External"/><Relationship Id="rId30" Type="http://schemas.openxmlformats.org/officeDocument/2006/relationships/image" Target="../media/image15.jpeg"/><Relationship Id="rId35" Type="http://schemas.openxmlformats.org/officeDocument/2006/relationships/hyperlink" Target="https://media.licdn.com/dms/image/v2/C4D0BAQFkVBDjhkbcHQ/company-logo_200_200/company-logo_200_200/0/1668691432360/signfordeaf_logo?e=1736985600&amp;v=beta&amp;t=SJUF3TA9d-1dPomzjsVcZrw9bg0wwAxt_h42KmDZr0Q" TargetMode="External"/><Relationship Id="rId43" Type="http://schemas.openxmlformats.org/officeDocument/2006/relationships/hyperlink" Target="https://media.licdn.com/dms/image/v2/C4D0BAQFHwyjbH3D5DQ/company-logo_200_200/company-logo_200_200/0/1630514572034?e=1736985600&amp;v=beta&amp;t=sYFvW45EzcL45aom0cQcG0CZm829jSTw-VnebiO0h2M" TargetMode="External"/><Relationship Id="rId48" Type="http://schemas.openxmlformats.org/officeDocument/2006/relationships/image" Target="../media/image24.jpeg"/><Relationship Id="rId8" Type="http://schemas.openxmlformats.org/officeDocument/2006/relationships/image" Target="../media/image4.jpeg"/><Relationship Id="rId3" Type="http://schemas.openxmlformats.org/officeDocument/2006/relationships/hyperlink" Target="https://media.licdn.com/dms/image/v2/C560BAQEBHmLqqwtxMw/company-logo_200_200/company-logo_200_200/0/1632410171300/deaf_ai_logo?e=1736985600&amp;v=beta&amp;t=UIvSn4Pnsgy0DS35tP69BANiudahlVS0CLMT7C4kcPA" TargetMode="External"/><Relationship Id="rId12" Type="http://schemas.openxmlformats.org/officeDocument/2006/relationships/image" Target="../media/image6.jpeg"/><Relationship Id="rId17" Type="http://schemas.openxmlformats.org/officeDocument/2006/relationships/hyperlink" Target="https://media.licdn.com/dms/image/v2/D4E0BAQHkgGOCBLlBXw/company-logo_200_200/company-logo_200_200/0/1700222502954/insignlanguage_logo?e=1736985600&amp;v=beta&amp;t=O2E80vOt_jVHagD9h_jayHi1tE3RW9VWXwyIX0sxtd4" TargetMode="External"/><Relationship Id="rId25" Type="http://schemas.openxmlformats.org/officeDocument/2006/relationships/hyperlink" Target="https://media.licdn.com/dms/image/v2/D560BAQFWp2RK3Kl3uQ/company-logo_200_200/company-logo_200_200/0/1694024729782/omnibridgeai_logo?e=1736985600&amp;v=beta&amp;t=LABIxRkakIgqucPkedEOx-QhbBySeEYLzKdB79VJR-8" TargetMode="External"/><Relationship Id="rId33" Type="http://schemas.openxmlformats.org/officeDocument/2006/relationships/hyperlink" Target="https://media.licdn.com/dms/image/v2/D4E0BAQHaOB5MxcxGGA/company-logo_200_200/company-logo_200_200/0/1713361378450/signavatar_logo?e=1736985600&amp;v=beta&amp;t=vjs6tVKAmmY2DUAWzaVMIilg2fSMtzOnis3z5TCY-kE" TargetMode="External"/><Relationship Id="rId38" Type="http://schemas.openxmlformats.org/officeDocument/2006/relationships/image" Target="../media/image19.jpeg"/><Relationship Id="rId46" Type="http://schemas.openxmlformats.org/officeDocument/2006/relationships/image" Target="../media/image23.jpeg"/><Relationship Id="rId20" Type="http://schemas.openxmlformats.org/officeDocument/2006/relationships/image" Target="../media/image10.jpeg"/><Relationship Id="rId41" Type="http://schemas.openxmlformats.org/officeDocument/2006/relationships/hyperlink" Target="https://media.licdn.com/dms/image/v2/D4E0BAQHyUs8NSYD8jA/company-logo_200_200/company-logo_200_200/0/1719249240479/sign_speak_logo?e=1736985600&amp;v=beta&amp;t=2mZ-j_msKf1DcnQCzleCptdll5gafagpX4tLEg5IJJI" TargetMode="External"/><Relationship Id="rId1" Type="http://schemas.openxmlformats.org/officeDocument/2006/relationships/hyperlink" Target="https://media.licdn.com/dms/image/v2/C560BAQHZjF01MQpX9w/company-logo_200_200/company-logo_200_200/0/1631350755176?e=1736985600&amp;v=beta&amp;t=NF8tXlBVvpbCBcn1QViAN1P7lUaPK44oHhU5ft1NbrY" TargetMode="External"/><Relationship Id="rId6" Type="http://schemas.openxmlformats.org/officeDocument/2006/relationships/image" Target="../media/image3.jpeg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</webImagesSrd>
</file>

<file path=xl/richData/rdrichvalue.xml><?xml version="1.0" encoding="utf-8"?>
<rvData xmlns="http://schemas.microsoft.com/office/spreadsheetml/2017/richdata" count="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1">
    <v>0</v>
    <v>5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1">
    <v>1</v>
    <v>5</v>
  </rv>
  <rv s="0">
    <v>21</v>
    <v>1</v>
    <v>0</v>
    <v>0</v>
  </rv>
  <rv s="0">
    <v>22</v>
    <v>1</v>
    <v>0</v>
    <v>0</v>
  </rv>
  <rv s="1">
    <v>2</v>
    <v>5</v>
  </rv>
  <rv s="0">
    <v>23</v>
    <v>1</v>
    <v>0</v>
    <v>0</v>
  </rv>
  <rv s="0">
    <v>24</v>
    <v>1</v>
    <v>0</v>
    <v>0</v>
  </rv>
</rvData>
</file>

<file path=xl/richData/rdrichvaluestructure.xml><?xml version="1.0" encoding="utf-8"?>
<rvStructures xmlns="http://schemas.microsoft.com/office/spreadsheetml/2017/richdata" count="2">
  <s t="_webimage">
    <k n="WebImageIdentifier" t="i"/>
    <k n="CalcOrigin" t="i"/>
    <k n="ComputedImage" t="b"/>
    <k n="ImageSizing" t="i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sllabs.com/" TargetMode="External"/><Relationship Id="rId13" Type="http://schemas.openxmlformats.org/officeDocument/2006/relationships/hyperlink" Target="https://omnibridge.ai/" TargetMode="External"/><Relationship Id="rId18" Type="http://schemas.openxmlformats.org/officeDocument/2006/relationships/hyperlink" Target="http://www.deaf-ai.com/" TargetMode="External"/><Relationship Id="rId3" Type="http://schemas.openxmlformats.org/officeDocument/2006/relationships/hyperlink" Target="http://www.kara.tech/" TargetMode="External"/><Relationship Id="rId21" Type="http://schemas.openxmlformats.org/officeDocument/2006/relationships/hyperlink" Target="http://www.ives.fr/" TargetMode="External"/><Relationship Id="rId7" Type="http://schemas.openxmlformats.org/officeDocument/2006/relationships/hyperlink" Target="https://www.signfordeaf.com/" TargetMode="External"/><Relationship Id="rId12" Type="http://schemas.openxmlformats.org/officeDocument/2006/relationships/hyperlink" Target="https://www.signapse.ai/" TargetMode="External"/><Relationship Id="rId17" Type="http://schemas.openxmlformats.org/officeDocument/2006/relationships/hyperlink" Target="https://www.somoseldes.com/" TargetMode="External"/><Relationship Id="rId2" Type="http://schemas.openxmlformats.org/officeDocument/2006/relationships/hyperlink" Target="https://www.glwmax.info/" TargetMode="External"/><Relationship Id="rId16" Type="http://schemas.openxmlformats.org/officeDocument/2006/relationships/hyperlink" Target="https://signly.co/" TargetMode="External"/><Relationship Id="rId20" Type="http://schemas.openxmlformats.org/officeDocument/2006/relationships/hyperlink" Target="https://play.google.com/store/apps/details?id=com.thebitstudio.shuwa&amp;hl=en_US" TargetMode="External"/><Relationship Id="rId1" Type="http://schemas.openxmlformats.org/officeDocument/2006/relationships/hyperlink" Target="http://www.signhow.co/" TargetMode="External"/><Relationship Id="rId6" Type="http://schemas.openxmlformats.org/officeDocument/2006/relationships/hyperlink" Target="https://www.rockcatstudio.com/" TargetMode="External"/><Relationship Id="rId11" Type="http://schemas.openxmlformats.org/officeDocument/2006/relationships/hyperlink" Target="https://www.sign-speak.com/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spokhand.org/" TargetMode="External"/><Relationship Id="rId15" Type="http://schemas.openxmlformats.org/officeDocument/2006/relationships/hyperlink" Target="https://simax.media/?lang=en" TargetMode="External"/><Relationship Id="rId23" Type="http://schemas.openxmlformats.org/officeDocument/2006/relationships/hyperlink" Target="https://www.sony.com/en/" TargetMode="External"/><Relationship Id="rId10" Type="http://schemas.openxmlformats.org/officeDocument/2006/relationships/hyperlink" Target="https://slait.ai/" TargetMode="External"/><Relationship Id="rId19" Type="http://schemas.openxmlformats.org/officeDocument/2006/relationships/hyperlink" Target="https://xiling.cloud.baidu.com/" TargetMode="External"/><Relationship Id="rId4" Type="http://schemas.openxmlformats.org/officeDocument/2006/relationships/hyperlink" Target="https://www.signavatar.org/" TargetMode="External"/><Relationship Id="rId9" Type="http://schemas.openxmlformats.org/officeDocument/2006/relationships/hyperlink" Target="https://www.gosign.ai/" TargetMode="External"/><Relationship Id="rId14" Type="http://schemas.openxmlformats.org/officeDocument/2006/relationships/hyperlink" Target="https://www.handtalk.me/en/" TargetMode="External"/><Relationship Id="rId22" Type="http://schemas.openxmlformats.org/officeDocument/2006/relationships/hyperlink" Target="http://www.deafingov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2B04-EEFA-4E73-B5E0-0FF57D6B98BB}">
  <dimension ref="A1:K29"/>
  <sheetViews>
    <sheetView tabSelected="1" topLeftCell="A20" workbookViewId="0">
      <selection activeCell="C27" sqref="C27"/>
    </sheetView>
  </sheetViews>
  <sheetFormatPr defaultRowHeight="15.75" x14ac:dyDescent="0.25"/>
  <cols>
    <col min="2" max="2" width="25.42578125" customWidth="1"/>
    <col min="3" max="3" width="32.28515625" customWidth="1"/>
    <col min="4" max="4" width="39" customWidth="1"/>
    <col min="5" max="5" width="30" customWidth="1"/>
    <col min="6" max="6" width="37.28515625" customWidth="1"/>
    <col min="7" max="7" width="49.85546875" customWidth="1"/>
    <col min="8" max="8" width="31.28515625" customWidth="1"/>
    <col min="9" max="9" width="9.85546875" customWidth="1"/>
    <col min="10" max="10" width="37.140625" style="1" customWidth="1"/>
    <col min="11" max="11" width="32.85546875" customWidth="1"/>
  </cols>
  <sheetData>
    <row r="1" spans="1:11" ht="31.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s="1" customFormat="1" ht="63" x14ac:dyDescent="0.25">
      <c r="A2" s="2" t="e" vm="1">
        <f>_xlfn.IMAGE("https://media.licdn.com/dms/image/v2/C560BAQHZjF01MQpX9w/company-logo_200_200/company-logo_200_200/0/1631350755176?e=1736985600&amp;v=beta&amp;t=NF8tXlBVvpbCBcn1QViAN1P7lUaPK44oHhU5ft1NbrY")</f>
        <v>#VALUE!</v>
      </c>
      <c r="B2" s="4" t="s">
        <v>11</v>
      </c>
      <c r="C2" s="3" t="s">
        <v>12</v>
      </c>
      <c r="D2" s="3" t="s">
        <v>13</v>
      </c>
      <c r="E2" s="2" t="s">
        <v>14</v>
      </c>
      <c r="F2" s="3" t="s">
        <v>15</v>
      </c>
      <c r="G2" s="2" t="s">
        <v>16</v>
      </c>
      <c r="H2" s="3" t="s">
        <v>17</v>
      </c>
      <c r="I2" s="2">
        <v>2000</v>
      </c>
      <c r="J2" s="5" t="s">
        <v>18</v>
      </c>
      <c r="K2" s="2" t="s">
        <v>19</v>
      </c>
    </row>
    <row r="3" spans="1:11" ht="47.25" x14ac:dyDescent="0.25">
      <c r="A3" s="2" t="e" vm="2">
        <f>_xlfn.IMAGE("https://media.licdn.com/dms/image/v2/C560BAQEBHmLqqwtxMw/company-logo_200_200/company-logo_200_200/0/1632410171300/deaf_ai_logo?e=1736985600&amp;v=beta&amp;t=UIvSn4Pnsgy0DS35tP69BANiudahlVS0CLMT7C4kcPA")</f>
        <v>#VALUE!</v>
      </c>
      <c r="B3" s="4" t="s">
        <v>20</v>
      </c>
      <c r="C3" s="3" t="s">
        <v>21</v>
      </c>
      <c r="D3" s="3" t="s">
        <v>22</v>
      </c>
      <c r="E3" s="2" t="s">
        <v>14</v>
      </c>
      <c r="F3" s="3" t="s">
        <v>23</v>
      </c>
      <c r="G3" s="2" t="s">
        <v>24</v>
      </c>
      <c r="H3" s="3" t="s">
        <v>25</v>
      </c>
      <c r="I3" s="2" t="s">
        <v>26</v>
      </c>
      <c r="J3" s="5" t="s">
        <v>27</v>
      </c>
      <c r="K3" s="2" t="s">
        <v>28</v>
      </c>
    </row>
    <row r="4" spans="1:11" s="1" customFormat="1" ht="47.25" x14ac:dyDescent="0.25">
      <c r="A4" s="2" t="e" vm="3">
        <f>_xlfn.IMAGE("https://media.licdn.com/dms/image/v2/C4E0BAQGlNSZ_CJvqVA/company-logo_200_200/company-logo_200_200/0/1630587204664?e=1736985600&amp;v=beta&amp;t=n5OmeGnQDLfAaVb0oR2YJOrZjaZa6XOrSnK3MQICAvM")</f>
        <v>#VALUE!</v>
      </c>
      <c r="B4" s="4" t="s">
        <v>29</v>
      </c>
      <c r="C4" s="3" t="s">
        <v>30</v>
      </c>
      <c r="D4" s="3" t="s">
        <v>31</v>
      </c>
      <c r="E4" s="2" t="s">
        <v>32</v>
      </c>
      <c r="F4" s="3" t="s">
        <v>23</v>
      </c>
      <c r="G4" s="2" t="s">
        <v>33</v>
      </c>
      <c r="H4" s="3" t="s">
        <v>34</v>
      </c>
      <c r="I4" s="2">
        <v>2006</v>
      </c>
      <c r="J4" s="5" t="s">
        <v>35</v>
      </c>
      <c r="K4" s="2" t="s">
        <v>36</v>
      </c>
    </row>
    <row r="5" spans="1:11" s="1" customFormat="1" ht="47.25" x14ac:dyDescent="0.25">
      <c r="A5" s="2" t="e" vm="4">
        <f>_xlfn.IMAGE("https://media.licdn.com/dms/image/v2/D4D0BAQEclrKKINwt1A/company-logo_200_200/company-logo_200_200/0/1722090429148?e=1736985600&amp;v=beta&amp;t=vwfXwy5KWRTRfw-vp3gHupJHZPILleXcmmKCgxF2zRg")</f>
        <v>#VALUE!</v>
      </c>
      <c r="B5" s="4" t="s">
        <v>37</v>
      </c>
      <c r="C5" s="3" t="s">
        <v>38</v>
      </c>
      <c r="D5" s="3" t="s">
        <v>39</v>
      </c>
      <c r="E5" s="2" t="s">
        <v>14</v>
      </c>
      <c r="F5" s="3" t="s">
        <v>23</v>
      </c>
      <c r="G5" s="2" t="s">
        <v>40</v>
      </c>
      <c r="H5" s="3" t="s">
        <v>41</v>
      </c>
      <c r="I5" s="2">
        <v>2021</v>
      </c>
      <c r="J5" s="5" t="s">
        <v>42</v>
      </c>
      <c r="K5" s="2" t="s">
        <v>43</v>
      </c>
    </row>
    <row r="6" spans="1:11" ht="47.25" x14ac:dyDescent="0.25">
      <c r="A6" s="2" t="e" vm="5">
        <f>_xlfn.IMAGE("https://media.licdn.com/dms/image/v2/C4D0BAQHGLvXTNM6rGQ/company-logo_200_200/company-logo_200_200/0/1631473289305?e=1736985600&amp;v=beta&amp;t=PMmgRB-uJC24V9jHr28SfOVg7j1hm2dSoBo3pjCmXmo")</f>
        <v>#VALUE!</v>
      </c>
      <c r="B6" s="8" t="s">
        <v>44</v>
      </c>
      <c r="C6" s="3" t="s">
        <v>45</v>
      </c>
      <c r="D6" s="3" t="s">
        <v>46</v>
      </c>
      <c r="E6" s="2" t="s">
        <v>32</v>
      </c>
      <c r="F6" s="3" t="s">
        <v>23</v>
      </c>
      <c r="G6" s="2" t="s">
        <v>47</v>
      </c>
      <c r="H6" s="3" t="s">
        <v>48</v>
      </c>
      <c r="I6" s="2">
        <v>2017</v>
      </c>
      <c r="J6" s="5" t="s">
        <v>49</v>
      </c>
      <c r="K6" s="2" t="s">
        <v>50</v>
      </c>
    </row>
    <row r="7" spans="1:11" s="1" customFormat="1" ht="47.45" customHeight="1" x14ac:dyDescent="0.25">
      <c r="A7" s="2" t="e" vm="6">
        <f>_xlfn.IMAGE("https://media.licdn.com/dms/image/v2/C4D0BAQHiNSL4Or29cg/company-logo_200_200/company-logo_200_200/0/1631311446380?e=1736985600&amp;v=beta&amp;t=Kaln0TENVE6GVffskStaDq-_krZOZxUy_w4lXAEo0Bw")</f>
        <v>#VALUE!</v>
      </c>
      <c r="B7" s="3" t="s">
        <v>51</v>
      </c>
      <c r="C7" s="3" t="s">
        <v>52</v>
      </c>
      <c r="D7" s="3" t="s">
        <v>53</v>
      </c>
      <c r="E7" s="2" t="s">
        <v>14</v>
      </c>
      <c r="F7" s="2" t="s">
        <v>15</v>
      </c>
      <c r="G7" s="2" t="s">
        <v>54</v>
      </c>
      <c r="H7" s="3" t="s">
        <v>55</v>
      </c>
      <c r="I7" s="2">
        <v>1998</v>
      </c>
      <c r="J7" s="5" t="s">
        <v>56</v>
      </c>
      <c r="K7" s="2" t="s">
        <v>28</v>
      </c>
    </row>
    <row r="8" spans="1:11" s="1" customFormat="1" ht="47.25" x14ac:dyDescent="0.25">
      <c r="A8" s="2" t="e" vm="7">
        <f>_xlfn.IMAGE("https://media.licdn.com/dms/image/v2/D560BAQEQRr_cn89BnA/company-logo_200_200/company-logo_200_200/0/1722346590548/gosignai_logo?e=1736985600&amp;v=beta&amp;t=vafEbBQbII97cDugnDWLG4FisDsKm8k7k6zHyXKWUdg")</f>
        <v>#VALUE!</v>
      </c>
      <c r="B8" s="4" t="s">
        <v>57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62</v>
      </c>
      <c r="H8" s="3" t="s">
        <v>63</v>
      </c>
      <c r="I8" s="2">
        <v>2023</v>
      </c>
      <c r="J8" s="5" t="s">
        <v>64</v>
      </c>
      <c r="K8" s="2" t="s">
        <v>65</v>
      </c>
    </row>
    <row r="9" spans="1:11" ht="47.25" x14ac:dyDescent="0.25">
      <c r="A9" s="2" t="e" vm="8">
        <f>_xlfn.IMAGE("https://media.licdn.com/dms/image/v2/C4E0BAQEjBLWMfCJ9tA/company-logo_200_200/company-logo_200_200/0/1636135557945?e=1736985600&amp;v=beta&amp;t=6TljkVjw0wOn3gU36H5NcIlBaUAME277Fc6qwa5uU1A")</f>
        <v>#VALUE!</v>
      </c>
      <c r="B9" s="3" t="s">
        <v>66</v>
      </c>
      <c r="C9" s="3" t="s">
        <v>67</v>
      </c>
      <c r="D9" s="3" t="s">
        <v>68</v>
      </c>
      <c r="E9" s="3" t="s">
        <v>60</v>
      </c>
      <c r="F9" s="3" t="s">
        <v>23</v>
      </c>
      <c r="G9" s="3" t="s">
        <v>69</v>
      </c>
      <c r="H9" s="3" t="s">
        <v>70</v>
      </c>
      <c r="I9" s="3">
        <v>2012</v>
      </c>
      <c r="J9" s="5" t="s">
        <v>71</v>
      </c>
      <c r="K9" s="2" t="s">
        <v>28</v>
      </c>
    </row>
    <row r="10" spans="1:11" ht="47.25" x14ac:dyDescent="0.25">
      <c r="A10" s="2" t="e" vm="9">
        <f>_xlfn.IMAGE("https://media.licdn.com/dms/image/v2/D4E0BAQHkgGOCBLlBXw/company-logo_200_200/company-logo_200_200/0/1700222502954/insignlanguage_logo?e=1736985600&amp;v=beta&amp;t=O2E80vOt_jVHagD9h_jayHi1tE3RW9VWXwyIX0sxtd4")</f>
        <v>#VALUE!</v>
      </c>
      <c r="B10" s="3" t="s">
        <v>72</v>
      </c>
      <c r="C10" s="3" t="s">
        <v>73</v>
      </c>
      <c r="D10" s="3" t="s">
        <v>74</v>
      </c>
      <c r="E10" s="3" t="s">
        <v>75</v>
      </c>
      <c r="F10" s="3" t="s">
        <v>23</v>
      </c>
      <c r="G10" s="3" t="s">
        <v>76</v>
      </c>
      <c r="H10" s="3" t="s">
        <v>77</v>
      </c>
      <c r="I10" s="3">
        <v>2017</v>
      </c>
      <c r="J10" s="5" t="s">
        <v>78</v>
      </c>
      <c r="K10" s="2" t="s">
        <v>79</v>
      </c>
    </row>
    <row r="11" spans="1:11" ht="63" x14ac:dyDescent="0.25">
      <c r="A11" s="2" t="e" vm="10">
        <f>_xlfn.IMAGE("https://media.licdn.com/dms/image/v2/C4D0BAQE4E1nzIzQgWA/company-logo_200_200/company-logo_200_200/0/1630486258717/iv_s___interactivity_video_and_systems_logo?e=1736985600&amp;v=beta&amp;t=7sBlMl94Udbhpzj5rLgFukPPG7jGcKX-dqkD_WZanEE")</f>
        <v>#VALUE!</v>
      </c>
      <c r="B11" s="3" t="s">
        <v>80</v>
      </c>
      <c r="C11" s="3" t="s">
        <v>81</v>
      </c>
      <c r="D11" s="3" t="s">
        <v>82</v>
      </c>
      <c r="E11" s="3" t="s">
        <v>83</v>
      </c>
      <c r="F11" s="3" t="s">
        <v>23</v>
      </c>
      <c r="G11" s="12" t="s">
        <v>84</v>
      </c>
      <c r="H11" s="3" t="s">
        <v>85</v>
      </c>
      <c r="I11" s="3">
        <v>2006</v>
      </c>
      <c r="J11" s="5" t="s">
        <v>86</v>
      </c>
      <c r="K11" s="2" t="s">
        <v>28</v>
      </c>
    </row>
    <row r="12" spans="1:11" ht="78.75" x14ac:dyDescent="0.25">
      <c r="A12" s="2" t="e" vm="11">
        <f>_xlfn.IMAGE("https://media.licdn.com/dms/image/v2/C560BAQH3czYpUBo7Fw/company-logo_200_200/company-logo_200_200/0/1631343393591?e=1736985600&amp;v=beta&amp;t=_qksszt56QG4U7sCFCcUshQdgcpOxP4EDfq0Rl2Oorc")</f>
        <v>#VALUE!</v>
      </c>
      <c r="B12" s="4" t="s">
        <v>87</v>
      </c>
      <c r="C12" s="2" t="s">
        <v>88</v>
      </c>
      <c r="D12" s="3" t="s">
        <v>89</v>
      </c>
      <c r="E12" s="2" t="s">
        <v>90</v>
      </c>
      <c r="F12" s="3" t="s">
        <v>23</v>
      </c>
      <c r="G12" s="2" t="s">
        <v>91</v>
      </c>
      <c r="H12" s="3" t="s">
        <v>92</v>
      </c>
      <c r="I12" s="2">
        <v>2017</v>
      </c>
      <c r="J12" s="7" t="s">
        <v>93</v>
      </c>
      <c r="K12" s="2" t="s">
        <v>28</v>
      </c>
    </row>
    <row r="13" spans="1:11" ht="47.25" x14ac:dyDescent="0.25">
      <c r="A13" s="2" t="e" vm="12">
        <f>_xlfn.IMAGE("https://media.licdn.com/dms/image/v2/D4D0BAQGYaLB10Ms2fQ/company-logo_200_200/company-logo_200_200/0/1725295563450/lingvano_logo?e=1736985600&amp;v=beta&amp;t=jso0VQg6WHnZpQ5dLytVf8zfdaeb8WfiXOa945eYQP8")</f>
        <v>#VALUE!</v>
      </c>
      <c r="B13" s="4" t="s">
        <v>94</v>
      </c>
      <c r="C13" s="3" t="s">
        <v>95</v>
      </c>
      <c r="D13" s="3" t="s">
        <v>96</v>
      </c>
      <c r="E13" s="3" t="s">
        <v>97</v>
      </c>
      <c r="F13" s="3" t="s">
        <v>23</v>
      </c>
      <c r="G13" s="2" t="s">
        <v>98</v>
      </c>
      <c r="H13" s="3" t="s">
        <v>99</v>
      </c>
      <c r="I13" s="2">
        <v>2018</v>
      </c>
      <c r="J13" s="7" t="s">
        <v>100</v>
      </c>
      <c r="K13" s="2" t="s">
        <v>28</v>
      </c>
    </row>
    <row r="14" spans="1:11" ht="47.25" x14ac:dyDescent="0.25">
      <c r="A14" s="2" t="e" vm="13">
        <f>_xlfn.IMAGE("https://media.licdn.com/dms/image/v2/D560BAQFWp2RK3Kl3uQ/company-logo_200_200/company-logo_200_200/0/1694024729782/omnibridgeai_logo?e=1736985600&amp;v=beta&amp;t=LABIxRkakIgqucPkedEOx-QhbBySeEYLzKdB79VJR-8")</f>
        <v>#VALUE!</v>
      </c>
      <c r="B14" s="3" t="s">
        <v>101</v>
      </c>
      <c r="C14" s="2" t="s">
        <v>102</v>
      </c>
      <c r="D14" s="3" t="s">
        <v>103</v>
      </c>
      <c r="E14" s="3" t="s">
        <v>104</v>
      </c>
      <c r="F14" s="3" t="s">
        <v>23</v>
      </c>
      <c r="G14" s="3" t="s">
        <v>105</v>
      </c>
      <c r="H14" s="3" t="s">
        <v>106</v>
      </c>
      <c r="I14" s="2">
        <v>2019</v>
      </c>
      <c r="J14" s="5" t="s">
        <v>107</v>
      </c>
      <c r="K14" s="2" t="s">
        <v>28</v>
      </c>
    </row>
    <row r="15" spans="1:11" ht="63" x14ac:dyDescent="0.25">
      <c r="A15" s="2" t="e" vm="14">
        <f>_xlfn.IMAGE("https://media.licdn.com/dms/image/v2/C4E0BAQErgt8mzmtUhg/company-logo_200_200/company-logo_200_200/0/1662782795453/robotica_ml_logo?e=1736985600&amp;v=beta&amp;t=wueYPUe0MQQl2qaYUWVonWvoWkAQmQVrEzErMIw8laQ")</f>
        <v>#VALUE!</v>
      </c>
      <c r="B15" s="3" t="s">
        <v>108</v>
      </c>
      <c r="C15" s="3" t="s">
        <v>109</v>
      </c>
      <c r="D15" s="3" t="s">
        <v>110</v>
      </c>
      <c r="E15" s="3" t="s">
        <v>111</v>
      </c>
      <c r="F15" s="3" t="s">
        <v>23</v>
      </c>
      <c r="G15" s="13" t="s">
        <v>112</v>
      </c>
      <c r="H15" s="3" t="s">
        <v>28</v>
      </c>
      <c r="I15" s="2">
        <v>2020</v>
      </c>
      <c r="J15" s="5" t="s">
        <v>113</v>
      </c>
      <c r="K15" s="2" t="s">
        <v>114</v>
      </c>
    </row>
    <row r="16" spans="1:11" ht="47.25" x14ac:dyDescent="0.25">
      <c r="A16" s="2" t="e" vm="15">
        <v>#VALUE!</v>
      </c>
      <c r="B16" s="4" t="s">
        <v>115</v>
      </c>
      <c r="C16" s="2" t="s">
        <v>116</v>
      </c>
      <c r="D16" s="3" t="s">
        <v>117</v>
      </c>
      <c r="E16" s="2" t="s">
        <v>118</v>
      </c>
      <c r="F16" s="3" t="s">
        <v>23</v>
      </c>
      <c r="G16" s="2" t="s">
        <v>119</v>
      </c>
      <c r="H16" s="2" t="s">
        <v>120</v>
      </c>
      <c r="I16" s="2">
        <v>2012</v>
      </c>
      <c r="J16" s="5" t="s">
        <v>121</v>
      </c>
      <c r="K16" s="2" t="s">
        <v>122</v>
      </c>
    </row>
    <row r="17" spans="1:11" ht="63" x14ac:dyDescent="0.25">
      <c r="A17" s="2" t="e" vm="16">
        <f>_xlfn.IMAGE("https://media.licdn.com/dms/image/v2/D560BAQFz9CElkeC3Zg/company-logo_200_200/company-logo_200_200/0/1721778369642?e=1736985600&amp;v=beta&amp;t=TpHTF2dPDGRLWi3_d6NrixgV2MbGa5hEvG8tgoDJ2P8")</f>
        <v>#VALUE!</v>
      </c>
      <c r="B17" s="3" t="s">
        <v>123</v>
      </c>
      <c r="C17" s="3" t="s">
        <v>124</v>
      </c>
      <c r="D17" s="3" t="s">
        <v>125</v>
      </c>
      <c r="E17" s="2" t="s">
        <v>32</v>
      </c>
      <c r="F17" s="3" t="s">
        <v>23</v>
      </c>
      <c r="G17" s="2" t="s">
        <v>126</v>
      </c>
      <c r="H17" s="3" t="s">
        <v>127</v>
      </c>
      <c r="I17" s="2">
        <v>2016</v>
      </c>
      <c r="J17" s="3" t="s">
        <v>128</v>
      </c>
      <c r="K17" s="2" t="s">
        <v>28</v>
      </c>
    </row>
    <row r="18" spans="1:11" ht="47.25" x14ac:dyDescent="0.25">
      <c r="A18" s="2" t="e" vm="17">
        <f>_xlfn.IMAGE("https://media.licdn.com/dms/image/v2/D4E0BAQH4xwChWRV3EA/company-logo_200_200/company-logo_200_200/0/1722502633346/signapse_logo?e=1736985600&amp;v=beta&amp;t=2LCRuxNNISVOroLKdRjHvN84b8trCMA8zmN3LD4X9nI")</f>
        <v>#VALUE!</v>
      </c>
      <c r="B18" s="3" t="s">
        <v>129</v>
      </c>
      <c r="C18" s="3" t="s">
        <v>130</v>
      </c>
      <c r="D18" s="3" t="s">
        <v>131</v>
      </c>
      <c r="E18" s="2" t="s">
        <v>132</v>
      </c>
      <c r="F18" s="3" t="s">
        <v>133</v>
      </c>
      <c r="G18" s="2" t="s">
        <v>134</v>
      </c>
      <c r="H18" s="3" t="s">
        <v>135</v>
      </c>
      <c r="I18" s="2">
        <v>2022</v>
      </c>
      <c r="J18" s="11" t="s">
        <v>136</v>
      </c>
      <c r="K18" s="6" t="s">
        <v>137</v>
      </c>
    </row>
    <row r="19" spans="1:11" ht="47.25" x14ac:dyDescent="0.25">
      <c r="A19" s="2" t="e" vm="18">
        <f>_xlfn.IMAGE("https://media.licdn.com/dms/image/v2/D4E0BAQHaOB5MxcxGGA/company-logo_200_200/company-logo_200_200/0/1713361378450/signavatar_logo?e=1736985600&amp;v=beta&amp;t=vjs6tVKAmmY2DUAWzaVMIilg2fSMtzOnis3z5TCY-kE")</f>
        <v>#VALUE!</v>
      </c>
      <c r="B19" s="4" t="s">
        <v>138</v>
      </c>
      <c r="C19" s="2" t="s">
        <v>139</v>
      </c>
      <c r="D19" s="3" t="s">
        <v>140</v>
      </c>
      <c r="E19" s="2" t="s">
        <v>141</v>
      </c>
      <c r="F19" s="3" t="s">
        <v>23</v>
      </c>
      <c r="G19" s="3" t="s">
        <v>142</v>
      </c>
      <c r="H19" s="3" t="s">
        <v>143</v>
      </c>
      <c r="I19" s="2">
        <v>2022</v>
      </c>
      <c r="J19" s="14" t="s">
        <v>144</v>
      </c>
      <c r="K19" s="2" t="s">
        <v>28</v>
      </c>
    </row>
    <row r="20" spans="1:11" ht="63" x14ac:dyDescent="0.25">
      <c r="A20" s="2" t="e" vm="19">
        <f>_xlfn.IMAGE("https://media.licdn.com/dms/image/v2/C4D0BAQFkVBDjhkbcHQ/company-logo_200_200/company-logo_200_200/0/1668691432360/signfordeaf_logo?e=1736985600&amp;v=beta&amp;t=SJUF3TA9d-1dPomzjsVcZrw9bg0wwAxt_h42KmDZr0Q")</f>
        <v>#VALUE!</v>
      </c>
      <c r="B20" s="2" t="s">
        <v>145</v>
      </c>
      <c r="C20" s="3" t="s">
        <v>146</v>
      </c>
      <c r="D20" s="3" t="s">
        <v>147</v>
      </c>
      <c r="E20" s="2" t="s">
        <v>148</v>
      </c>
      <c r="F20" s="3" t="s">
        <v>23</v>
      </c>
      <c r="G20" s="2" t="s">
        <v>149</v>
      </c>
      <c r="H20" s="2" t="s">
        <v>150</v>
      </c>
      <c r="I20" s="2">
        <v>2019</v>
      </c>
      <c r="J20" s="7" t="s">
        <v>151</v>
      </c>
      <c r="K20" s="2" t="s">
        <v>152</v>
      </c>
    </row>
    <row r="21" spans="1:11" ht="47.25" x14ac:dyDescent="0.25">
      <c r="A21" s="2" t="e" vm="20">
        <f>_xlfn.IMAGE("https://media.licdn.com/dms/image/v2/C510BAQHiwBG4yHrfuA/company-logo_200_200/company-logo_200_200/0/1631430723362/signhow_logo?e=1736985600&amp;v=beta&amp;t=uHqD2sHx_l0tY1aa-R3fUdBONYt85SOKwz6KaL4qHVM")</f>
        <v>#VALUE!</v>
      </c>
      <c r="B21" s="4" t="s">
        <v>153</v>
      </c>
      <c r="C21" s="3" t="s">
        <v>154</v>
      </c>
      <c r="D21" s="3" t="s">
        <v>155</v>
      </c>
      <c r="E21" s="3" t="s">
        <v>60</v>
      </c>
      <c r="F21" s="3" t="s">
        <v>23</v>
      </c>
      <c r="G21" s="2" t="s">
        <v>156</v>
      </c>
      <c r="H21" s="3" t="s">
        <v>157</v>
      </c>
      <c r="I21" s="2">
        <v>2018</v>
      </c>
      <c r="J21" s="5" t="s">
        <v>158</v>
      </c>
      <c r="K21" s="6" t="s">
        <v>159</v>
      </c>
    </row>
    <row r="22" spans="1:11" ht="47.25" x14ac:dyDescent="0.25">
      <c r="A22" s="2" t="e" vm="21">
        <f>_xlfn.IMAGE("https://media.licdn.com/dms/image/v2/C4D0BAQH7lrYy4HWsJA/company-logo_200_200/company-logo_200_200/0/1630501881043/signly_logo?e=1736985600&amp;v=beta&amp;t=8B8rn64UL7Qp-9MDDKVsnzWJ4XNowCXwtVQsyQPbgdQ")</f>
        <v>#VALUE!</v>
      </c>
      <c r="B22" s="4" t="s">
        <v>160</v>
      </c>
      <c r="C22" s="3" t="s">
        <v>161</v>
      </c>
      <c r="D22" s="3" t="s">
        <v>162</v>
      </c>
      <c r="E22" s="2" t="s">
        <v>14</v>
      </c>
      <c r="F22" s="3" t="s">
        <v>23</v>
      </c>
      <c r="G22" s="2" t="s">
        <v>163</v>
      </c>
      <c r="H22" s="10" t="s">
        <v>164</v>
      </c>
      <c r="I22" s="2">
        <v>2015</v>
      </c>
      <c r="J22" s="5" t="s">
        <v>165</v>
      </c>
      <c r="K22" s="2" t="s">
        <v>166</v>
      </c>
    </row>
    <row r="23" spans="1:11" ht="47.25" x14ac:dyDescent="0.25">
      <c r="A23" s="2" t="e" vm="22">
        <f>_xlfn.IMAGE("https://media.licdn.com/dms/image/v2/D4E0BAQHyUs8NSYD8jA/company-logo_200_200/company-logo_200_200/0/1719249240479/sign_speak_logo?e=1736985600&amp;v=beta&amp;t=2mZ-j_msKf1DcnQCzleCptdll5gafagpX4tLEg5IJJI")</f>
        <v>#VALUE!</v>
      </c>
      <c r="B23" s="2" t="s">
        <v>167</v>
      </c>
      <c r="C23" s="3" t="s">
        <v>168</v>
      </c>
      <c r="D23" s="3" t="s">
        <v>169</v>
      </c>
      <c r="E23" s="3" t="s">
        <v>170</v>
      </c>
      <c r="F23" s="3" t="s">
        <v>23</v>
      </c>
      <c r="G23" s="3" t="s">
        <v>62</v>
      </c>
      <c r="H23" s="3" t="s">
        <v>171</v>
      </c>
      <c r="I23" s="2">
        <v>2020</v>
      </c>
      <c r="J23" s="5" t="s">
        <v>172</v>
      </c>
      <c r="K23" s="2" t="s">
        <v>173</v>
      </c>
    </row>
    <row r="24" spans="1:11" s="1" customFormat="1" ht="63" x14ac:dyDescent="0.25">
      <c r="A24" s="2" t="e" vm="23">
        <v>#VALUE!</v>
      </c>
      <c r="B24" s="4" t="s">
        <v>174</v>
      </c>
      <c r="C24" s="3" t="s">
        <v>175</v>
      </c>
      <c r="D24" s="3" t="s">
        <v>176</v>
      </c>
      <c r="E24" s="2" t="s">
        <v>148</v>
      </c>
      <c r="F24" s="3" t="s">
        <v>23</v>
      </c>
      <c r="G24" s="2" t="s">
        <v>98</v>
      </c>
      <c r="H24" s="3" t="s">
        <v>177</v>
      </c>
      <c r="I24" s="2">
        <v>2020</v>
      </c>
      <c r="J24" s="9" t="s">
        <v>178</v>
      </c>
      <c r="K24" s="2" t="s">
        <v>179</v>
      </c>
    </row>
    <row r="25" spans="1:11" s="1" customFormat="1" ht="47.25" x14ac:dyDescent="0.25">
      <c r="A25" s="2" t="e" vm="24">
        <f>_xlfn.IMAGE("https://media.licdn.com/dms/image/v2/C4D0BAQFHwyjbH3D5DQ/company-logo_200_200/company-logo_200_200/0/1630514572034?e=1736985600&amp;v=beta&amp;t=sYFvW45EzcL45aom0cQcG0CZm829jSTw-VnebiO0h2M")</f>
        <v>#VALUE!</v>
      </c>
      <c r="B25" s="3" t="s">
        <v>180</v>
      </c>
      <c r="C25" s="3" t="s">
        <v>181</v>
      </c>
      <c r="D25" s="3" t="s">
        <v>182</v>
      </c>
      <c r="E25" s="3" t="s">
        <v>183</v>
      </c>
      <c r="F25" s="3" t="s">
        <v>23</v>
      </c>
      <c r="G25" s="3" t="s">
        <v>184</v>
      </c>
      <c r="H25" s="3" t="s">
        <v>185</v>
      </c>
      <c r="I25" s="2">
        <v>2021</v>
      </c>
      <c r="J25" s="5" t="s">
        <v>186</v>
      </c>
      <c r="K25" s="2" t="s">
        <v>28</v>
      </c>
    </row>
    <row r="26" spans="1:11" s="16" customFormat="1" ht="63" x14ac:dyDescent="0.25">
      <c r="A26" s="2" t="e" vm="25">
        <f>_xlfn.IMAGE("https://media.licdn.com/dms/image/v2/C560BAQFeD2stV0OSRQ/company-logo_200_200/company-logo_200_200/0/1630629120915/sony_logo?e=1737590400&amp;v=beta&amp;t=PVxpx-NsQMknZRx5RFPTXKZ0GoYo1hUh1VegkI5dWlA")</f>
        <v>#VALUE!</v>
      </c>
      <c r="B26" s="3" t="s">
        <v>204</v>
      </c>
      <c r="C26" s="3" t="s">
        <v>209</v>
      </c>
      <c r="D26" s="3" t="s">
        <v>210</v>
      </c>
      <c r="E26" s="3" t="s">
        <v>211</v>
      </c>
      <c r="F26" s="2" t="s">
        <v>15</v>
      </c>
      <c r="G26" s="3" t="s">
        <v>207</v>
      </c>
      <c r="H26" s="3" t="s">
        <v>208</v>
      </c>
      <c r="I26" s="3" t="s">
        <v>206</v>
      </c>
      <c r="J26" s="15" t="s">
        <v>205</v>
      </c>
      <c r="K26" s="17" t="s">
        <v>212</v>
      </c>
    </row>
    <row r="27" spans="1:11" s="1" customFormat="1" ht="47.25" x14ac:dyDescent="0.25">
      <c r="A27" s="2" t="e" vm="26">
        <v>#VALUE!</v>
      </c>
      <c r="B27" s="3" t="s">
        <v>187</v>
      </c>
      <c r="C27" s="3" t="s">
        <v>188</v>
      </c>
      <c r="D27" s="3" t="s">
        <v>189</v>
      </c>
      <c r="E27" s="3" t="s">
        <v>190</v>
      </c>
      <c r="F27" s="3" t="s">
        <v>23</v>
      </c>
      <c r="G27" s="3" t="s">
        <v>28</v>
      </c>
      <c r="H27" s="3" t="s">
        <v>28</v>
      </c>
      <c r="I27" s="3" t="s">
        <v>28</v>
      </c>
      <c r="J27" s="2" t="s">
        <v>28</v>
      </c>
      <c r="K27" s="3" t="s">
        <v>28</v>
      </c>
    </row>
    <row r="28" spans="1:11" s="1" customFormat="1" ht="47.25" x14ac:dyDescent="0.25">
      <c r="A28" s="2" t="e" vm="27">
        <f>_xlfn.IMAGE("https://media.licdn.com/dms/image/v2/D4E0BAQH32vsplc-QwA/company-logo_200_200/company-logo_200_200/0/1719498908317/spokhand_logo?e=1736985600&amp;v=beta&amp;t=1u20_m3HR9dFFYp2BCvZMg2I3qemZmFOAmA121lzNK0")</f>
        <v>#VALUE!</v>
      </c>
      <c r="B28" s="4" t="s">
        <v>191</v>
      </c>
      <c r="C28" s="3" t="s">
        <v>192</v>
      </c>
      <c r="D28" s="3" t="s">
        <v>193</v>
      </c>
      <c r="E28" s="2" t="s">
        <v>32</v>
      </c>
      <c r="F28" s="3" t="s">
        <v>23</v>
      </c>
      <c r="G28" s="2" t="s">
        <v>194</v>
      </c>
      <c r="H28" s="3" t="s">
        <v>195</v>
      </c>
      <c r="I28" s="2">
        <v>2024</v>
      </c>
      <c r="J28" s="5" t="s">
        <v>196</v>
      </c>
      <c r="K28" s="2" t="s">
        <v>28</v>
      </c>
    </row>
    <row r="29" spans="1:11" s="1" customFormat="1" ht="47.25" x14ac:dyDescent="0.25">
      <c r="A29" s="2" t="e" vm="28">
        <f>_xlfn.IMAGE("https://media.licdn.com/dms/image/v2/D4D0BAQEKAJHriNRfew/company-logo_200_200/company-logo_200_200/0/1721935574475/vsllabs_logo?e=1736985600&amp;v=beta&amp;t=UaMOwMI2O1DcNqisvlsrg2TNBSq_z8P0pjjcBybm5uE")</f>
        <v>#VALUE!</v>
      </c>
      <c r="B29" s="4" t="s">
        <v>197</v>
      </c>
      <c r="C29" s="3" t="s">
        <v>198</v>
      </c>
      <c r="D29" s="3" t="s">
        <v>199</v>
      </c>
      <c r="E29" s="2" t="s">
        <v>14</v>
      </c>
      <c r="F29" s="3" t="s">
        <v>23</v>
      </c>
      <c r="G29" s="2" t="s">
        <v>200</v>
      </c>
      <c r="H29" s="3" t="s">
        <v>201</v>
      </c>
      <c r="I29" s="2">
        <v>2020</v>
      </c>
      <c r="J29" s="5" t="s">
        <v>202</v>
      </c>
      <c r="K29" s="2" t="s">
        <v>203</v>
      </c>
    </row>
  </sheetData>
  <sortState xmlns:xlrd2="http://schemas.microsoft.com/office/spreadsheetml/2017/richdata2" ref="A2:K29">
    <sortCondition ref="B2:B29"/>
  </sortState>
  <hyperlinks>
    <hyperlink ref="J21" r:id="rId1" display="http://www.signhow.co/" xr:uid="{F6BAA50A-CB82-4DD7-9107-305695F59F52}"/>
    <hyperlink ref="J6" r:id="rId2" xr:uid="{C4555010-C64B-4ED6-9817-41A71B497B01}"/>
    <hyperlink ref="J12" r:id="rId3" xr:uid="{0B138BBA-193B-454C-8088-1744BE1A42A6}"/>
    <hyperlink ref="J19" r:id="rId4" xr:uid="{88921F4F-8B52-40C2-BF62-AC1FF8EDF75C}"/>
    <hyperlink ref="J28" r:id="rId5" xr:uid="{63B3D24C-8013-4942-BC9D-7DA97E514C42}"/>
    <hyperlink ref="J16" r:id="rId6" xr:uid="{6A6E24CC-8507-4357-924C-84B7FCA620AF}"/>
    <hyperlink ref="J20" r:id="rId7" xr:uid="{81135091-E826-488B-A48B-239828C7BCF4}"/>
    <hyperlink ref="J29" r:id="rId8" xr:uid="{C00DFCFF-FA41-41F4-B786-75B74ABA2F32}"/>
    <hyperlink ref="J8" r:id="rId9" xr:uid="{E3A98675-32C0-42F6-A5BB-E56196C119C9}"/>
    <hyperlink ref="J25" r:id="rId10" xr:uid="{94FCD359-5741-4034-AAD7-549B3E7BF794}"/>
    <hyperlink ref="J23" r:id="rId11" xr:uid="{B5E169E4-0B79-40AB-B768-D94B7A2C7043}"/>
    <hyperlink ref="J18" r:id="rId12" xr:uid="{140A03EA-F622-48E0-851D-BDF260E916E9}"/>
    <hyperlink ref="J14" r:id="rId13" xr:uid="{F787343A-CE9E-4E5F-9C1D-E81A2B6670E0}"/>
    <hyperlink ref="J9" r:id="rId14" xr:uid="{235BD092-AE83-4ED7-BCE3-5A89C5E10859}"/>
    <hyperlink ref="J24" r:id="rId15" display="https://simax.media/?lang=en" xr:uid="{5EABAB93-D604-46C5-A052-35C241E7A2F5}"/>
    <hyperlink ref="J22" r:id="rId16" xr:uid="{9D2A1E5B-2411-4B64-9C19-8BF74C6490DC}"/>
    <hyperlink ref="J5" r:id="rId17" xr:uid="{DB61EA68-7FEA-446E-BDE3-37221F6BD0BE}"/>
    <hyperlink ref="J3" r:id="rId18" display="http://www.deaf-ai.com/" xr:uid="{3B971570-04F9-491A-AB2B-5232CC3A8021}"/>
    <hyperlink ref="J2" r:id="rId19" xr:uid="{B1F5B51F-49F3-47AE-B122-8499970B7774}"/>
    <hyperlink ref="J7" r:id="rId20" xr:uid="{3A95944B-8E9B-4235-BF7D-80C842163C63}"/>
    <hyperlink ref="J11" r:id="rId21" display="http://www.ives.fr/" xr:uid="{2C1A277D-DAE6-464B-8BC9-0DBA90DE3DD4}"/>
    <hyperlink ref="J4" r:id="rId22" display="http://www.deafingov.org/" xr:uid="{245895FD-2FCC-439B-9F22-4E9A3A9EABD8}"/>
    <hyperlink ref="J26" r:id="rId23" xr:uid="{ACCB24DA-1892-4104-9E63-759C88287D33}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Kalocsai</dc:creator>
  <cp:keywords/>
  <dc:description/>
  <cp:lastModifiedBy>Peter Kalocsai</cp:lastModifiedBy>
  <cp:revision/>
  <dcterms:created xsi:type="dcterms:W3CDTF">2024-10-08T11:29:35Z</dcterms:created>
  <dcterms:modified xsi:type="dcterms:W3CDTF">2024-10-21T07:46:36Z</dcterms:modified>
  <cp:category/>
  <cp:contentStatus/>
</cp:coreProperties>
</file>